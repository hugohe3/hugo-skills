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eyug\Desktop\"/>
    </mc:Choice>
  </mc:AlternateContent>
  <xr:revisionPtr revIDLastSave="0" documentId="13_ncr:1_{B660E02F-52E1-4AA8-BDE5-981218BC1318}" xr6:coauthVersionLast="47" xr6:coauthVersionMax="47" xr10:uidLastSave="{00000000-0000-0000-0000-000000000000}"/>
  <bookViews>
    <workbookView xWindow="36756" yWindow="-108" windowWidth="30936" windowHeight="16776" xr2:uid="{00000000-000D-0000-FFFF-FFFF00000000}"/>
  </bookViews>
  <sheets>
    <sheet name="Cp计算" sheetId="1" r:id="rId1"/>
  </sheets>
  <definedNames>
    <definedName name="_xlnm.Print_Area" localSheetId="0">Cp计算!$A$1:$F$43</definedName>
    <definedName name="_xlnm.Print_Titles" localSheetId="0">Cp计算!$7:$8</definedName>
    <definedName name="空气密度">Cp计算!$B$4</definedName>
    <definedName name="叶轮直径">Cp计算!$B$5</definedName>
    <definedName name="最大Cp">Cp计算!$E$5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8" i="1" l="1"/>
  <c r="D108" i="1"/>
  <c r="E107" i="1"/>
  <c r="D107" i="1"/>
  <c r="E106" i="1"/>
  <c r="D106" i="1"/>
  <c r="E105" i="1"/>
  <c r="D105" i="1"/>
  <c r="E104" i="1"/>
  <c r="D104" i="1"/>
  <c r="E103" i="1"/>
  <c r="D103" i="1"/>
  <c r="E102" i="1"/>
  <c r="D102" i="1"/>
  <c r="E101" i="1"/>
  <c r="D101" i="1"/>
  <c r="E100" i="1"/>
  <c r="D100" i="1"/>
  <c r="E99" i="1"/>
  <c r="D99" i="1"/>
  <c r="E98" i="1"/>
  <c r="D98" i="1"/>
  <c r="E97" i="1"/>
  <c r="D97" i="1"/>
  <c r="E96" i="1"/>
  <c r="D96" i="1"/>
  <c r="E95" i="1"/>
  <c r="D95" i="1"/>
  <c r="E94" i="1"/>
  <c r="D94" i="1"/>
  <c r="E93" i="1"/>
  <c r="D93" i="1"/>
  <c r="E92" i="1"/>
  <c r="D92" i="1"/>
  <c r="E91" i="1"/>
  <c r="D91" i="1"/>
  <c r="E90" i="1"/>
  <c r="D90" i="1"/>
  <c r="E89" i="1"/>
  <c r="D89" i="1"/>
  <c r="E88" i="1"/>
  <c r="D88" i="1"/>
  <c r="E87" i="1"/>
  <c r="D87" i="1"/>
  <c r="E86" i="1"/>
  <c r="D86" i="1"/>
  <c r="E85" i="1"/>
  <c r="D85" i="1"/>
  <c r="E84" i="1"/>
  <c r="D84" i="1"/>
  <c r="E83" i="1"/>
  <c r="D83" i="1"/>
  <c r="E82" i="1"/>
  <c r="D82" i="1"/>
  <c r="E81" i="1"/>
  <c r="D81" i="1"/>
  <c r="E80" i="1"/>
  <c r="D80" i="1"/>
  <c r="E79" i="1"/>
  <c r="D79" i="1"/>
  <c r="E78" i="1"/>
  <c r="D78" i="1"/>
  <c r="E77" i="1"/>
  <c r="D77" i="1"/>
  <c r="E76" i="1"/>
  <c r="D76" i="1"/>
  <c r="E75" i="1"/>
  <c r="D75" i="1"/>
  <c r="E74" i="1"/>
  <c r="D74" i="1"/>
  <c r="E73" i="1"/>
  <c r="D73" i="1"/>
  <c r="E72" i="1"/>
  <c r="D72" i="1"/>
  <c r="E71" i="1"/>
  <c r="D71" i="1"/>
  <c r="E70" i="1"/>
  <c r="D70" i="1"/>
  <c r="E69" i="1"/>
  <c r="D69" i="1"/>
  <c r="E68" i="1"/>
  <c r="D68" i="1"/>
  <c r="E67" i="1"/>
  <c r="D67" i="1"/>
  <c r="E66" i="1"/>
  <c r="D66" i="1"/>
  <c r="E65" i="1"/>
  <c r="D65" i="1"/>
  <c r="E64" i="1"/>
  <c r="D64" i="1"/>
  <c r="E63" i="1"/>
  <c r="D63" i="1"/>
  <c r="E62" i="1"/>
  <c r="D62" i="1"/>
  <c r="E61" i="1"/>
  <c r="D61" i="1"/>
  <c r="E60" i="1"/>
  <c r="D60" i="1"/>
  <c r="E59" i="1"/>
  <c r="D59" i="1"/>
  <c r="E58" i="1"/>
  <c r="D58" i="1"/>
  <c r="E57" i="1"/>
  <c r="D57" i="1"/>
  <c r="E56" i="1"/>
  <c r="D56" i="1"/>
  <c r="E55" i="1"/>
  <c r="D55" i="1"/>
  <c r="E54" i="1"/>
  <c r="D54" i="1"/>
  <c r="E53" i="1"/>
  <c r="D53" i="1"/>
  <c r="E52" i="1"/>
  <c r="D52" i="1"/>
  <c r="E51" i="1"/>
  <c r="D51" i="1"/>
  <c r="E50" i="1"/>
  <c r="D50" i="1"/>
  <c r="E49" i="1"/>
  <c r="D49" i="1"/>
  <c r="E48" i="1"/>
  <c r="D48" i="1"/>
  <c r="E47" i="1"/>
  <c r="D47" i="1"/>
  <c r="E46" i="1"/>
  <c r="D46" i="1"/>
  <c r="E45" i="1"/>
  <c r="D45" i="1"/>
  <c r="D44" i="1"/>
  <c r="E44" i="1" s="1"/>
  <c r="E5" i="1" s="1"/>
  <c r="D43" i="1"/>
  <c r="E43" i="1" s="1"/>
  <c r="D42" i="1"/>
  <c r="E42" i="1" s="1"/>
  <c r="D41" i="1"/>
  <c r="E41" i="1" s="1"/>
  <c r="D40" i="1"/>
  <c r="E40" i="1" s="1"/>
  <c r="D39" i="1"/>
  <c r="E39" i="1" s="1"/>
  <c r="D38" i="1"/>
  <c r="E38" i="1" s="1"/>
  <c r="D37" i="1"/>
  <c r="E37" i="1" s="1"/>
  <c r="D36" i="1"/>
  <c r="E36" i="1" s="1"/>
  <c r="D35" i="1"/>
  <c r="E35" i="1" s="1"/>
  <c r="D34" i="1"/>
  <c r="E34" i="1" s="1"/>
  <c r="D33" i="1"/>
  <c r="E33" i="1" s="1"/>
  <c r="D32" i="1"/>
  <c r="E32" i="1" s="1"/>
  <c r="D31" i="1"/>
  <c r="E31" i="1" s="1"/>
  <c r="D30" i="1"/>
  <c r="E30" i="1" s="1"/>
  <c r="D29" i="1"/>
  <c r="E29" i="1" s="1"/>
  <c r="D28" i="1"/>
  <c r="E28" i="1" s="1"/>
  <c r="D27" i="1"/>
  <c r="E27" i="1" s="1"/>
  <c r="D26" i="1"/>
  <c r="E26" i="1" s="1"/>
  <c r="D25" i="1"/>
  <c r="E25" i="1" s="1"/>
  <c r="D24" i="1"/>
  <c r="E24" i="1" s="1"/>
  <c r="D23" i="1"/>
  <c r="E23" i="1" s="1"/>
  <c r="D22" i="1"/>
  <c r="E22" i="1" s="1"/>
  <c r="D21" i="1"/>
  <c r="E21" i="1" s="1"/>
  <c r="E20" i="1"/>
  <c r="D20" i="1"/>
  <c r="D19" i="1"/>
  <c r="E19" i="1" s="1"/>
  <c r="D18" i="1"/>
  <c r="E18" i="1" s="1"/>
  <c r="D17" i="1"/>
  <c r="E17" i="1" s="1"/>
  <c r="D16" i="1"/>
  <c r="E16" i="1" s="1"/>
  <c r="D15" i="1"/>
  <c r="E15" i="1" s="1"/>
  <c r="D14" i="1"/>
  <c r="E14" i="1" s="1"/>
  <c r="D13" i="1"/>
  <c r="E13" i="1" s="1"/>
  <c r="D12" i="1"/>
  <c r="E12" i="1" s="1"/>
  <c r="D11" i="1"/>
  <c r="E11" i="1" s="1"/>
  <c r="D10" i="1"/>
  <c r="E10" i="1" s="1"/>
  <c r="E9" i="1"/>
  <c r="D9" i="1"/>
</calcChain>
</file>

<file path=xl/sharedStrings.xml><?xml version="1.0" encoding="utf-8"?>
<sst xmlns="http://schemas.openxmlformats.org/spreadsheetml/2006/main" count="14" uniqueCount="14">
  <si>
    <t>风电机组功率系数 (Cp) 计算模型</t>
  </si>
  <si>
    <t>◤ 模型参数（可修改）</t>
  </si>
  <si>
    <t>空气密度 ρ</t>
  </si>
  <si>
    <t>kg/m³</t>
  </si>
  <si>
    <t>叶轮直径 D</t>
  </si>
  <si>
    <t>m</t>
  </si>
  <si>
    <t>最大功率系数 Cp,max</t>
  </si>
  <si>
    <t>◤ 输入区（手动录入）</t>
  </si>
  <si>
    <t>◤ 计算区（公式自动）</t>
  </si>
  <si>
    <t>风速 (m/s)</t>
  </si>
  <si>
    <t>功率 (kW)</t>
  </si>
  <si>
    <t>推力系数 Ct</t>
  </si>
  <si>
    <t>理论功率 (kW)</t>
  </si>
  <si>
    <t>功率系数 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</si>
</sst>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78" formatCode="0.0"/>
    <numFmt numFmtId="179" formatCode="#,##0.0"/>
    <numFmt numFmtId="180" formatCode="0.000"/>
    <numFmt numFmtId="181" formatCode="0.0000"/>
  </numFmts>
  <fonts count="12">
    <font>
      <sz val="11"/>
      <color theme="1"/>
      <name val="宋体"/>
      <charset val="134"/>
      <scheme val="minor"/>
    </font>
    <font>
      <sz val="10"/>
      <name val="Arial"/>
      <family val="2"/>
    </font>
    <font>
      <sz val="9"/>
      <name val="宋体"/>
      <family val="3"/>
      <charset val="134"/>
      <scheme val="minor"/>
    </font>
    <font>
      <b/>
      <sz val="11"/>
      <color rgb="FFFFFFFF"/>
      <name val="Microsoft YaHei"/>
      <family val="2"/>
      <charset val="134"/>
    </font>
    <font>
      <b/>
      <sz val="11"/>
      <color theme="1"/>
      <name val="Microsoft YaHei"/>
      <family val="2"/>
      <charset val="134"/>
    </font>
    <font>
      <b/>
      <sz val="15"/>
      <color rgb="FF1F4E78"/>
      <name val="Microsoft YaHei"/>
      <family val="2"/>
      <charset val="134"/>
    </font>
    <font>
      <b/>
      <sz val="11"/>
      <color rgb="FF7F6000"/>
      <name val="Microsoft YaHei"/>
      <family val="2"/>
      <charset val="134"/>
    </font>
    <font>
      <sz val="11"/>
      <color rgb="FF808080"/>
      <name val="Microsoft YaHei"/>
      <family val="2"/>
      <charset val="134"/>
    </font>
    <font>
      <sz val="10"/>
      <color rgb="FF1F3864"/>
      <name val="Microsoft YaHei"/>
      <family val="2"/>
      <charset val="134"/>
    </font>
    <font>
      <sz val="10"/>
      <color rgb="FF385723"/>
      <name val="Microsoft YaHei"/>
      <family val="2"/>
      <charset val="134"/>
    </font>
    <font>
      <b/>
      <sz val="10"/>
      <color rgb="FF375623"/>
      <name val="Microsoft YaHei"/>
      <family val="2"/>
      <charset val="134"/>
    </font>
    <font>
      <b/>
      <sz val="16"/>
      <color rgb="FF006100"/>
      <name val="Microsoft YaHei"/>
      <family val="2"/>
      <charset val="134"/>
    </font>
  </fonts>
  <fills count="12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5FAFF"/>
        <bgColor indexed="64"/>
      </patternFill>
    </fill>
    <fill>
      <patternFill patternType="solid">
        <fgColor rgb="FFF4FBF0"/>
        <bgColor indexed="64"/>
      </patternFill>
    </fill>
    <fill>
      <patternFill patternType="solid">
        <fgColor rgb="FFE2EFDA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D9B84C"/>
      </left>
      <right style="thin">
        <color rgb="FFD9B84C"/>
      </right>
      <top style="thin">
        <color rgb="FFD9B84C"/>
      </top>
      <bottom style="thin">
        <color rgb="FFD9B84C"/>
      </bottom>
      <diagonal/>
    </border>
    <border>
      <left style="medium">
        <color rgb="FF70AD47"/>
      </left>
      <right/>
      <top/>
      <bottom style="medium">
        <color rgb="FF70AD47"/>
      </bottom>
      <diagonal/>
    </border>
    <border>
      <left/>
      <right style="medium">
        <color rgb="FF70AD47"/>
      </right>
      <top/>
      <bottom style="medium">
        <color rgb="FF70AD47"/>
      </bottom>
      <diagonal/>
    </border>
    <border>
      <left style="medium">
        <color rgb="FF808080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70AD47"/>
      </left>
      <right/>
      <top style="medium">
        <color rgb="FF70AD47"/>
      </top>
      <bottom style="thin">
        <color rgb="FFA9D08E"/>
      </bottom>
      <diagonal/>
    </border>
    <border>
      <left/>
      <right style="medium">
        <color rgb="FF70AD47"/>
      </right>
      <top style="medium">
        <color rgb="FF70AD47"/>
      </top>
      <bottom style="thin">
        <color rgb="FFA9D08E"/>
      </bottom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6" fillId="0" borderId="0" xfId="0" applyFont="1">
      <alignment vertical="center"/>
    </xf>
    <xf numFmtId="0" fontId="4" fillId="0" borderId="4" xfId="0" applyFont="1" applyBorder="1" applyAlignment="1">
      <alignment horizontal="left" vertical="center"/>
    </xf>
    <xf numFmtId="2" fontId="6" fillId="5" borderId="4" xfId="0" applyNumberFormat="1" applyFont="1" applyFill="1" applyBorder="1" applyAlignment="1">
      <alignment horizontal="center" vertical="center"/>
    </xf>
    <xf numFmtId="0" fontId="7" fillId="0" borderId="4" xfId="0" applyFont="1" applyBorder="1" applyAlignment="1">
      <alignment horizontal="left" vertical="center"/>
    </xf>
    <xf numFmtId="1" fontId="6" fillId="5" borderId="4" xfId="0" applyNumberFormat="1" applyFont="1" applyFill="1" applyBorder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3" fillId="8" borderId="3" xfId="0" applyFont="1" applyFill="1" applyBorder="1" applyAlignment="1">
      <alignment horizontal="center" vertical="center"/>
    </xf>
    <xf numFmtId="0" fontId="3" fillId="8" borderId="7" xfId="0" applyFont="1" applyFill="1" applyBorder="1" applyAlignment="1">
      <alignment horizontal="center" vertical="center"/>
    </xf>
    <xf numFmtId="178" fontId="8" fillId="9" borderId="2" xfId="0" applyNumberFormat="1" applyFont="1" applyFill="1" applyBorder="1" applyAlignment="1">
      <alignment horizontal="center" vertical="center"/>
    </xf>
    <xf numFmtId="179" fontId="8" fillId="9" borderId="2" xfId="0" applyNumberFormat="1" applyFont="1" applyFill="1" applyBorder="1" applyAlignment="1">
      <alignment horizontal="center" vertical="center"/>
    </xf>
    <xf numFmtId="180" fontId="8" fillId="9" borderId="1" xfId="0" applyNumberFormat="1" applyFont="1" applyFill="1" applyBorder="1" applyAlignment="1">
      <alignment horizontal="center" vertical="center"/>
    </xf>
    <xf numFmtId="178" fontId="8" fillId="4" borderId="2" xfId="0" applyNumberFormat="1" applyFont="1" applyFill="1" applyBorder="1" applyAlignment="1">
      <alignment horizontal="center" vertical="center"/>
    </xf>
    <xf numFmtId="179" fontId="8" fillId="4" borderId="2" xfId="0" applyNumberFormat="1" applyFont="1" applyFill="1" applyBorder="1" applyAlignment="1">
      <alignment horizontal="center" vertical="center"/>
    </xf>
    <xf numFmtId="180" fontId="8" fillId="4" borderId="1" xfId="0" applyNumberFormat="1" applyFont="1" applyFill="1" applyBorder="1" applyAlignment="1">
      <alignment horizontal="center" vertical="center"/>
    </xf>
    <xf numFmtId="179" fontId="9" fillId="10" borderId="7" xfId="0" applyNumberFormat="1" applyFont="1" applyFill="1" applyBorder="1" applyAlignment="1">
      <alignment horizontal="center" vertical="center"/>
    </xf>
    <xf numFmtId="181" fontId="9" fillId="10" borderId="3" xfId="0" applyNumberFormat="1" applyFont="1" applyFill="1" applyBorder="1" applyAlignment="1">
      <alignment horizontal="center" vertical="center"/>
    </xf>
    <xf numFmtId="179" fontId="9" fillId="11" borderId="7" xfId="0" applyNumberFormat="1" applyFont="1" applyFill="1" applyBorder="1" applyAlignment="1">
      <alignment horizontal="center" vertical="center"/>
    </xf>
    <xf numFmtId="181" fontId="9" fillId="11" borderId="3" xfId="0" applyNumberFormat="1" applyFont="1" applyFill="1" applyBorder="1" applyAlignment="1">
      <alignment horizontal="center" vertical="center"/>
    </xf>
    <xf numFmtId="181" fontId="11" fillId="2" borderId="5" xfId="0" applyNumberFormat="1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10" fillId="11" borderId="8" xfId="0" applyFont="1" applyFill="1" applyBorder="1" applyAlignment="1">
      <alignment horizontal="center" vertical="center" wrapText="1"/>
    </xf>
    <xf numFmtId="0" fontId="10" fillId="11" borderId="9" xfId="0" applyFont="1" applyFill="1" applyBorder="1" applyAlignment="1">
      <alignment horizontal="center"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M108"/>
  <sheetViews>
    <sheetView tabSelected="1" workbookViewId="0">
      <pane ySplit="8" topLeftCell="A9" activePane="bottomLeft" state="frozen"/>
      <selection pane="bottomLeft" activeCell="C16" sqref="C16"/>
    </sheetView>
  </sheetViews>
  <sheetFormatPr defaultColWidth="12.796875" defaultRowHeight="13.5"/>
  <cols>
    <col min="1" max="2" width="15.1328125" customWidth="1"/>
    <col min="3" max="3" width="16" customWidth="1"/>
    <col min="4" max="4" width="17.796875" customWidth="1"/>
    <col min="5" max="5" width="16.86328125" customWidth="1"/>
    <col min="6" max="8" width="16" customWidth="1"/>
  </cols>
  <sheetData>
    <row r="1" spans="1:13" ht="32" customHeight="1">
      <c r="A1" s="6" t="s">
        <v>0</v>
      </c>
      <c r="B1" s="6"/>
      <c r="C1" s="6"/>
      <c r="D1" s="6"/>
      <c r="E1" s="6"/>
      <c r="F1" s="6"/>
      <c r="I1" s="1"/>
      <c r="J1" s="1"/>
      <c r="K1" s="1"/>
      <c r="L1" s="1"/>
      <c r="M1" s="1"/>
    </row>
    <row r="2" spans="1:13" ht="18" customHeight="1">
      <c r="I2" s="3"/>
      <c r="J2" s="3"/>
      <c r="K2" s="3"/>
      <c r="L2" s="2"/>
      <c r="M2" s="2"/>
    </row>
    <row r="3" spans="1:13" ht="18" customHeight="1" thickBot="1">
      <c r="A3" s="7" t="s">
        <v>1</v>
      </c>
      <c r="B3" s="7"/>
      <c r="C3" s="7"/>
      <c r="I3" s="3"/>
      <c r="J3" s="3"/>
      <c r="K3" s="3"/>
      <c r="L3" s="2"/>
      <c r="M3" s="2"/>
    </row>
    <row r="4" spans="1:13" ht="24" customHeight="1">
      <c r="A4" s="8" t="s">
        <v>2</v>
      </c>
      <c r="B4" s="9">
        <v>1.02</v>
      </c>
      <c r="C4" s="10" t="s">
        <v>3</v>
      </c>
      <c r="E4" s="28" t="s">
        <v>6</v>
      </c>
      <c r="F4" s="29"/>
      <c r="I4" s="3"/>
      <c r="J4" s="3"/>
      <c r="K4" s="3"/>
      <c r="L4" s="2"/>
      <c r="M4" s="2"/>
    </row>
    <row r="5" spans="1:13" ht="30" customHeight="1" thickBot="1">
      <c r="A5" s="8" t="s">
        <v>4</v>
      </c>
      <c r="B5" s="11">
        <v>220</v>
      </c>
      <c r="C5" s="10" t="s">
        <v>5</v>
      </c>
      <c r="E5" s="26">
        <f>MAX(E9:E108)</f>
        <v>0.42576289940183204</v>
      </c>
      <c r="F5" s="27"/>
      <c r="I5" s="3"/>
      <c r="J5" s="3"/>
      <c r="K5" s="3"/>
      <c r="L5" s="2"/>
      <c r="M5" s="2"/>
    </row>
    <row r="6" spans="1:13" ht="18" customHeight="1">
      <c r="I6" s="3"/>
      <c r="J6" s="3"/>
      <c r="K6" s="3"/>
      <c r="L6" s="2"/>
      <c r="M6" s="2"/>
    </row>
    <row r="7" spans="1:13" ht="18" customHeight="1">
      <c r="A7" s="12" t="s">
        <v>7</v>
      </c>
      <c r="B7" s="12"/>
      <c r="C7" s="12"/>
      <c r="D7" s="13" t="s">
        <v>8</v>
      </c>
      <c r="E7" s="13"/>
      <c r="I7" s="3"/>
      <c r="J7" s="3"/>
      <c r="K7" s="3"/>
      <c r="L7" s="2"/>
      <c r="M7" s="2"/>
    </row>
    <row r="8" spans="1:13" ht="30" customHeight="1">
      <c r="A8" s="5" t="s">
        <v>9</v>
      </c>
      <c r="B8" s="5" t="s">
        <v>10</v>
      </c>
      <c r="C8" s="4" t="s">
        <v>11</v>
      </c>
      <c r="D8" s="15" t="s">
        <v>12</v>
      </c>
      <c r="E8" s="14" t="s">
        <v>13</v>
      </c>
      <c r="I8" s="3"/>
      <c r="J8" s="3"/>
      <c r="K8" s="3"/>
      <c r="L8" s="2"/>
      <c r="M8" s="2"/>
    </row>
    <row r="9" spans="1:13" ht="19.05" customHeight="1">
      <c r="A9" s="16">
        <v>3</v>
      </c>
      <c r="B9" s="17">
        <v>186.4</v>
      </c>
      <c r="C9" s="18">
        <v>0.999</v>
      </c>
      <c r="D9" s="22">
        <f>IF($A9="","",0.5*空气密度*$A9^3*PI()*叶轮直径^2/4/1000)</f>
        <v>523.44274316317058</v>
      </c>
      <c r="E9" s="23">
        <f>IF(OR($A9="",$B9=""),"",$B9/$D9)</f>
        <v>0.3561038956688608</v>
      </c>
      <c r="I9" s="3"/>
      <c r="J9" s="3"/>
      <c r="K9" s="3"/>
      <c r="L9" s="2"/>
      <c r="M9" s="2"/>
    </row>
    <row r="10" spans="1:13" ht="19.05" customHeight="1">
      <c r="A10" s="19">
        <v>3.5</v>
      </c>
      <c r="B10" s="20">
        <v>316.89999999999998</v>
      </c>
      <c r="C10" s="21">
        <v>0.95499999999999996</v>
      </c>
      <c r="D10" s="24">
        <f>IF($A10="","",0.5*空气密度*$A10^3*PI()*叶轮直径^2/4/1000)</f>
        <v>831.20768937484956</v>
      </c>
      <c r="E10" s="25">
        <f t="shared" ref="E10:E73" si="0">IF(OR($A10="",$B10=""),"",$B10/$D10)</f>
        <v>0.38125248845849841</v>
      </c>
      <c r="I10" s="3"/>
      <c r="J10" s="3"/>
      <c r="K10" s="3"/>
      <c r="L10" s="2"/>
      <c r="M10" s="2"/>
    </row>
    <row r="11" spans="1:13" ht="19.05" customHeight="1">
      <c r="A11" s="16">
        <v>4</v>
      </c>
      <c r="B11" s="17">
        <v>499.6</v>
      </c>
      <c r="C11" s="18">
        <v>0.91800000000000004</v>
      </c>
      <c r="D11" s="22">
        <f>IF($A11="","",0.5*空气密度*$A11^3*PI()*叶轮直径^2/4/1000)</f>
        <v>1240.7531689793673</v>
      </c>
      <c r="E11" s="23">
        <f t="shared" si="0"/>
        <v>0.40265865322025862</v>
      </c>
      <c r="I11" s="3"/>
      <c r="J11" s="3"/>
      <c r="K11" s="3"/>
      <c r="L11" s="2"/>
      <c r="M11" s="2"/>
    </row>
    <row r="12" spans="1:13" ht="19.05" customHeight="1">
      <c r="A12" s="19">
        <v>4.5</v>
      </c>
      <c r="B12" s="20">
        <v>733.4</v>
      </c>
      <c r="C12" s="21">
        <v>0.88700000000000001</v>
      </c>
      <c r="D12" s="24">
        <f>IF($A12="","",0.5*空气密度*$A12^3*PI()*叶轮直径^2/4/1000)</f>
        <v>1766.6192581757007</v>
      </c>
      <c r="E12" s="25">
        <f t="shared" si="0"/>
        <v>0.41514321583777225</v>
      </c>
      <c r="I12" s="3"/>
      <c r="J12" s="3"/>
      <c r="K12" s="3"/>
      <c r="L12" s="2"/>
      <c r="M12" s="2"/>
    </row>
    <row r="13" spans="1:13" ht="19.05" customHeight="1">
      <c r="A13" s="16">
        <v>5</v>
      </c>
      <c r="B13" s="17">
        <v>1023.5</v>
      </c>
      <c r="C13" s="18">
        <v>0.86299999999999999</v>
      </c>
      <c r="D13" s="22">
        <f>IF($A13="","",0.5*空气密度*$A13^3*PI()*叶轮直径^2/4/1000)</f>
        <v>2423.3460331628266</v>
      </c>
      <c r="E13" s="23">
        <f t="shared" si="0"/>
        <v>0.42234991866356802</v>
      </c>
      <c r="I13" s="3"/>
      <c r="J13" s="3"/>
      <c r="K13" s="3"/>
      <c r="L13" s="2"/>
      <c r="M13" s="2"/>
    </row>
    <row r="14" spans="1:13" ht="19.05" customHeight="1">
      <c r="A14" s="19">
        <v>5.5</v>
      </c>
      <c r="B14" s="20">
        <v>1371.8</v>
      </c>
      <c r="C14" s="21">
        <v>0.84499999999999997</v>
      </c>
      <c r="D14" s="24">
        <f>IF($A14="","",0.5*空气密度*$A14^3*PI()*叶轮直径^2/4/1000)</f>
        <v>3225.4735701397226</v>
      </c>
      <c r="E14" s="25">
        <f t="shared" si="0"/>
        <v>0.425301888286927</v>
      </c>
      <c r="I14" s="3"/>
      <c r="J14" s="3"/>
      <c r="K14" s="3"/>
      <c r="L14" s="2"/>
      <c r="M14" s="2"/>
    </row>
    <row r="15" spans="1:13" ht="19.05" customHeight="1">
      <c r="A15" s="16">
        <v>6</v>
      </c>
      <c r="B15" s="17">
        <v>1782.9</v>
      </c>
      <c r="C15" s="18">
        <v>0.83299999999999996</v>
      </c>
      <c r="D15" s="22">
        <f>IF($A15="","",0.5*空气密度*$A15^3*PI()*叶轮直径^2/4/1000)</f>
        <v>4187.5419453053646</v>
      </c>
      <c r="E15" s="23">
        <f t="shared" si="0"/>
        <v>0.42576289940183204</v>
      </c>
      <c r="I15" s="3"/>
      <c r="J15" s="3"/>
      <c r="K15" s="3"/>
      <c r="L15" s="2"/>
      <c r="M15" s="2"/>
    </row>
    <row r="16" spans="1:13" ht="19.05" customHeight="1">
      <c r="A16" s="19">
        <v>6.5</v>
      </c>
      <c r="B16" s="20">
        <v>2266.6</v>
      </c>
      <c r="C16" s="21">
        <v>0.80800000000000005</v>
      </c>
      <c r="D16" s="24">
        <f>IF($A16="","",0.5*空气密度*$A16^3*PI()*叶轮直径^2/4/1000)</f>
        <v>5324.0912348587308</v>
      </c>
      <c r="E16" s="25">
        <f t="shared" si="0"/>
        <v>0.42572523647975047</v>
      </c>
      <c r="I16" s="3"/>
      <c r="J16" s="3"/>
      <c r="K16" s="3"/>
      <c r="L16" s="2"/>
      <c r="M16" s="2"/>
    </row>
    <row r="17" spans="1:13" ht="19.05" customHeight="1">
      <c r="A17" s="16">
        <v>7</v>
      </c>
      <c r="B17" s="17">
        <v>2824.1</v>
      </c>
      <c r="C17" s="18">
        <v>0.76500000000000001</v>
      </c>
      <c r="D17" s="22">
        <f>IF($A17="","",0.5*空气密度*$A17^3*PI()*叶轮直径^2/4/1000)</f>
        <v>6649.6615149987965</v>
      </c>
      <c r="E17" s="23">
        <f t="shared" si="0"/>
        <v>0.42469830887332183</v>
      </c>
      <c r="I17" s="3"/>
      <c r="J17" s="3"/>
      <c r="K17" s="3"/>
      <c r="L17" s="2"/>
      <c r="M17" s="2"/>
    </row>
    <row r="18" spans="1:13" ht="19.05" customHeight="1">
      <c r="A18" s="19">
        <v>7.5</v>
      </c>
      <c r="B18" s="20">
        <v>3389.1</v>
      </c>
      <c r="C18" s="21">
        <v>0.70099999999999996</v>
      </c>
      <c r="D18" s="24">
        <f>IF($A18="","",0.5*空气密度*$A18^3*PI()*叶轮直径^2/4/1000)</f>
        <v>8178.7928619245395</v>
      </c>
      <c r="E18" s="25">
        <f t="shared" si="0"/>
        <v>0.41437655375496524</v>
      </c>
      <c r="I18" s="3"/>
      <c r="J18" s="3"/>
      <c r="K18" s="3"/>
      <c r="L18" s="2"/>
      <c r="M18" s="2"/>
    </row>
    <row r="19" spans="1:13" ht="19.05" customHeight="1">
      <c r="A19" s="16">
        <v>8</v>
      </c>
      <c r="B19" s="17">
        <v>3902</v>
      </c>
      <c r="C19" s="18">
        <v>0.628</v>
      </c>
      <c r="D19" s="22">
        <f>IF($A19="","",0.5*空气密度*$A19^3*PI()*叶轮直径^2/4/1000)</f>
        <v>9926.0253518349382</v>
      </c>
      <c r="E19" s="23">
        <f t="shared" si="0"/>
        <v>0.39310800261845708</v>
      </c>
      <c r="I19" s="3"/>
      <c r="J19" s="3"/>
      <c r="K19" s="3"/>
      <c r="L19" s="2"/>
      <c r="M19" s="2"/>
    </row>
    <row r="20" spans="1:13" ht="19.05" customHeight="1">
      <c r="A20" s="19">
        <v>8.5</v>
      </c>
      <c r="B20" s="20">
        <v>4323.8999999999996</v>
      </c>
      <c r="C20" s="21">
        <v>0.56100000000000005</v>
      </c>
      <c r="D20" s="24">
        <f>IF($A20="","",0.5*空气密度*$A20^3*PI()*叶轮直径^2/4/1000)</f>
        <v>11905.899060928969</v>
      </c>
      <c r="E20" s="25">
        <f t="shared" si="0"/>
        <v>0.3631729093176625</v>
      </c>
      <c r="I20" s="3"/>
      <c r="J20" s="3"/>
      <c r="K20" s="3"/>
      <c r="L20" s="2"/>
      <c r="M20" s="2"/>
    </row>
    <row r="21" spans="1:13" ht="19.05" customHeight="1">
      <c r="A21" s="16">
        <v>9</v>
      </c>
      <c r="B21" s="17">
        <v>4623.8999999999996</v>
      </c>
      <c r="C21" s="18">
        <v>0.503</v>
      </c>
      <c r="D21" s="22">
        <f>IF($A21="","",0.5*空气密度*$A21^3*PI()*叶轮直径^2/4/1000)</f>
        <v>14132.954065405605</v>
      </c>
      <c r="E21" s="23">
        <f t="shared" si="0"/>
        <v>0.32717151549500184</v>
      </c>
      <c r="I21" s="3"/>
      <c r="J21" s="3"/>
      <c r="K21" s="3"/>
      <c r="L21" s="2"/>
      <c r="M21" s="2"/>
    </row>
    <row r="22" spans="1:13" ht="19.05" customHeight="1">
      <c r="A22" s="19">
        <v>9.5</v>
      </c>
      <c r="B22" s="20">
        <v>4816</v>
      </c>
      <c r="C22" s="21">
        <v>0.44900000000000001</v>
      </c>
      <c r="D22" s="24">
        <f>IF($A22="","",0.5*空气密度*$A22^3*PI()*叶轮直径^2/4/1000)</f>
        <v>16621.730441463827</v>
      </c>
      <c r="E22" s="25">
        <f t="shared" si="0"/>
        <v>0.28974119252868047</v>
      </c>
      <c r="I22" s="3"/>
      <c r="J22" s="3"/>
      <c r="K22" s="3"/>
      <c r="L22" s="2"/>
      <c r="M22" s="2"/>
    </row>
    <row r="23" spans="1:13" ht="19.05" customHeight="1">
      <c r="A23" s="16">
        <v>10</v>
      </c>
      <c r="B23" s="17">
        <v>4934.3999999999996</v>
      </c>
      <c r="C23" s="18">
        <v>0.39600000000000002</v>
      </c>
      <c r="D23" s="22">
        <f>IF($A23="","",0.5*空气密度*$A23^3*PI()*叶轮直径^2/4/1000)</f>
        <v>19386.768265302613</v>
      </c>
      <c r="E23" s="23">
        <f t="shared" si="0"/>
        <v>0.25452411317214335</v>
      </c>
      <c r="I23" s="3"/>
      <c r="J23" s="3"/>
      <c r="K23" s="3"/>
      <c r="L23" s="2"/>
      <c r="M23" s="2"/>
    </row>
    <row r="24" spans="1:13" ht="19.05" customHeight="1">
      <c r="A24" s="19">
        <v>10.5</v>
      </c>
      <c r="B24" s="20">
        <v>5000</v>
      </c>
      <c r="C24" s="21">
        <v>0.34399999999999997</v>
      </c>
      <c r="D24" s="24">
        <f>IF($A24="","",0.5*空气密度*$A24^3*PI()*叶轮直径^2/4/1000)</f>
        <v>22442.607613120937</v>
      </c>
      <c r="E24" s="25">
        <f t="shared" si="0"/>
        <v>0.22279051018459992</v>
      </c>
      <c r="I24" s="3"/>
      <c r="J24" s="3"/>
      <c r="K24" s="3"/>
      <c r="L24" s="2"/>
      <c r="M24" s="2"/>
    </row>
    <row r="25" spans="1:13" ht="19.05" customHeight="1">
      <c r="A25" s="16">
        <v>11</v>
      </c>
      <c r="B25" s="17">
        <v>5000</v>
      </c>
      <c r="C25" s="18">
        <v>0.29899999999999999</v>
      </c>
      <c r="D25" s="22">
        <f>IF($A25="","",0.5*空气密度*$A25^3*PI()*叶轮直径^2/4/1000)</f>
        <v>25803.788561117781</v>
      </c>
      <c r="E25" s="23">
        <f t="shared" si="0"/>
        <v>0.19376999575691017</v>
      </c>
      <c r="I25" s="3"/>
      <c r="J25" s="3"/>
      <c r="K25" s="3"/>
      <c r="L25" s="2"/>
      <c r="M25" s="2"/>
    </row>
    <row r="26" spans="1:13" ht="19.05" customHeight="1">
      <c r="A26" s="19">
        <v>11.5</v>
      </c>
      <c r="B26" s="20">
        <v>5000</v>
      </c>
      <c r="C26" s="21">
        <v>0.26</v>
      </c>
      <c r="D26" s="24">
        <f>IF($A26="","",0.5*空气密度*$A26^3*PI()*叶轮直径^2/4/1000)</f>
        <v>29484.851185492109</v>
      </c>
      <c r="E26" s="25">
        <f t="shared" si="0"/>
        <v>0.16957860728360155</v>
      </c>
      <c r="I26" s="3"/>
      <c r="J26" s="3"/>
      <c r="K26" s="3"/>
      <c r="L26" s="2"/>
      <c r="M26" s="2"/>
    </row>
    <row r="27" spans="1:13" ht="19.05" customHeight="1">
      <c r="A27" s="16">
        <v>12</v>
      </c>
      <c r="B27" s="17">
        <v>5000</v>
      </c>
      <c r="C27" s="18">
        <v>0.22800000000000001</v>
      </c>
      <c r="D27" s="22">
        <f>IF($A27="","",0.5*空气密度*$A27^3*PI()*叶轮直径^2/4/1000)</f>
        <v>33500.335562442917</v>
      </c>
      <c r="E27" s="23">
        <f t="shared" si="0"/>
        <v>0.14925223631507378</v>
      </c>
      <c r="I27" s="3"/>
      <c r="J27" s="3"/>
      <c r="K27" s="3"/>
      <c r="L27" s="2"/>
      <c r="M27" s="2"/>
    </row>
    <row r="28" spans="1:13" ht="19.05" customHeight="1">
      <c r="A28" s="19">
        <v>12.5</v>
      </c>
      <c r="B28" s="20">
        <v>5000</v>
      </c>
      <c r="C28" s="21">
        <v>0.2</v>
      </c>
      <c r="D28" s="24">
        <f>IF($A28="","",0.5*空气密度*$A28^3*PI()*叶轮直径^2/4/1000)</f>
        <v>37864.781768169167</v>
      </c>
      <c r="E28" s="25">
        <f t="shared" si="0"/>
        <v>0.13204882654845312</v>
      </c>
      <c r="I28" s="3"/>
      <c r="J28" s="3"/>
      <c r="K28" s="3"/>
      <c r="L28" s="2"/>
      <c r="M28" s="2"/>
    </row>
    <row r="29" spans="1:13" ht="19.05" customHeight="1">
      <c r="A29" s="16">
        <v>13</v>
      </c>
      <c r="B29" s="17">
        <v>5000</v>
      </c>
      <c r="C29" s="18">
        <v>0.17799999999999999</v>
      </c>
      <c r="D29" s="22">
        <f>IF($A29="","",0.5*空气密度*$A29^3*PI()*叶轮直径^2/4/1000)</f>
        <v>42592.729878869846</v>
      </c>
      <c r="E29" s="23">
        <f t="shared" si="0"/>
        <v>0.11739092596834204</v>
      </c>
      <c r="I29" s="3"/>
      <c r="J29" s="3"/>
      <c r="K29" s="3"/>
      <c r="L29" s="2"/>
      <c r="M29" s="2"/>
    </row>
    <row r="30" spans="1:13" ht="19.05" customHeight="1">
      <c r="A30" s="19">
        <v>13.5</v>
      </c>
      <c r="B30" s="20">
        <v>5000</v>
      </c>
      <c r="C30" s="21">
        <v>0.159</v>
      </c>
      <c r="D30" s="24">
        <f>IF($A30="","",0.5*空气密度*$A30^3*PI()*叶轮直径^2/4/1000)</f>
        <v>47698.719970743914</v>
      </c>
      <c r="E30" s="25">
        <f t="shared" si="0"/>
        <v>0.10482461590304222</v>
      </c>
      <c r="I30" s="3"/>
      <c r="J30" s="3"/>
      <c r="K30" s="3"/>
      <c r="L30" s="2"/>
      <c r="M30" s="2"/>
    </row>
    <row r="31" spans="1:13" ht="19.05" customHeight="1">
      <c r="A31" s="16">
        <v>14</v>
      </c>
      <c r="B31" s="17">
        <v>5000</v>
      </c>
      <c r="C31" s="18">
        <v>0.14199999999999999</v>
      </c>
      <c r="D31" s="22">
        <f>IF($A31="","",0.5*空气密度*$A31^3*PI()*叶轮直径^2/4/1000)</f>
        <v>53197.292119990372</v>
      </c>
      <c r="E31" s="23">
        <f t="shared" si="0"/>
        <v>9.3989746484128084E-2</v>
      </c>
      <c r="I31" s="3"/>
      <c r="J31" s="3"/>
      <c r="K31" s="3"/>
      <c r="L31" s="2"/>
      <c r="M31" s="2"/>
    </row>
    <row r="32" spans="1:13" ht="19.05" customHeight="1">
      <c r="A32" s="19">
        <v>14.5</v>
      </c>
      <c r="B32" s="20">
        <v>5000</v>
      </c>
      <c r="C32" s="21">
        <v>0.128</v>
      </c>
      <c r="D32" s="24">
        <f>IF($A32="","",0.5*空气密度*$A32^3*PI()*叶轮直径^2/4/1000)</f>
        <v>59102.986402808172</v>
      </c>
      <c r="E32" s="25">
        <f t="shared" si="0"/>
        <v>8.4598094010397321E-2</v>
      </c>
      <c r="I32" s="3"/>
      <c r="J32" s="3"/>
      <c r="K32" s="3"/>
      <c r="L32" s="2"/>
      <c r="M32" s="2"/>
    </row>
    <row r="33" spans="1:13" ht="19.05" customHeight="1">
      <c r="A33" s="16">
        <v>15</v>
      </c>
      <c r="B33" s="17">
        <v>5000</v>
      </c>
      <c r="C33" s="18">
        <v>0.11600000000000001</v>
      </c>
      <c r="D33" s="22">
        <f>IF($A33="","",0.5*空气密度*$A33^3*PI()*叶轮直径^2/4/1000)</f>
        <v>65430.342895396316</v>
      </c>
      <c r="E33" s="23">
        <f t="shared" si="0"/>
        <v>7.6417144993317782E-2</v>
      </c>
      <c r="I33" s="3"/>
      <c r="J33" s="3"/>
      <c r="K33" s="3"/>
      <c r="L33" s="2"/>
      <c r="M33" s="2"/>
    </row>
    <row r="34" spans="1:13" ht="19.05" customHeight="1">
      <c r="A34" s="19">
        <v>15.5</v>
      </c>
      <c r="B34" s="20">
        <v>5000</v>
      </c>
      <c r="C34" s="21">
        <v>0.106</v>
      </c>
      <c r="D34" s="24">
        <f>IF($A34="","",0.5*空气密度*$A34^3*PI()*叶轮直径^2/4/1000)</f>
        <v>72193.901673953776</v>
      </c>
      <c r="E34" s="25">
        <f t="shared" si="0"/>
        <v>6.9257927388123253E-2</v>
      </c>
      <c r="I34" s="3"/>
      <c r="J34" s="3"/>
      <c r="K34" s="3"/>
      <c r="L34" s="2"/>
      <c r="M34" s="2"/>
    </row>
    <row r="35" spans="1:13" ht="19.05" customHeight="1">
      <c r="A35" s="16">
        <v>16</v>
      </c>
      <c r="B35" s="17">
        <v>5000</v>
      </c>
      <c r="C35" s="18">
        <v>9.7000000000000003E-2</v>
      </c>
      <c r="D35" s="22">
        <f>IF($A35="","",0.5*空气密度*$A35^3*PI()*叶轮直径^2/4/1000)</f>
        <v>79408.202814679506</v>
      </c>
      <c r="E35" s="23">
        <f t="shared" si="0"/>
        <v>6.2965787195421744E-2</v>
      </c>
      <c r="I35" s="3"/>
      <c r="J35" s="3"/>
      <c r="K35" s="3"/>
      <c r="L35" s="2"/>
      <c r="M35" s="2"/>
    </row>
    <row r="36" spans="1:13" ht="19.05" customHeight="1">
      <c r="A36" s="19">
        <v>16.5</v>
      </c>
      <c r="B36" s="20">
        <v>5000</v>
      </c>
      <c r="C36" s="21">
        <v>8.7999999999999995E-2</v>
      </c>
      <c r="D36" s="24">
        <f>IF($A36="","",0.5*空气密度*$A36^3*PI()*叶轮直径^2/4/1000)</f>
        <v>87087.786393772491</v>
      </c>
      <c r="E36" s="25">
        <f t="shared" si="0"/>
        <v>5.7413332076121551E-2</v>
      </c>
      <c r="I36" s="3"/>
      <c r="J36" s="3"/>
      <c r="K36" s="3"/>
      <c r="L36" s="2"/>
      <c r="M36" s="2"/>
    </row>
    <row r="37" spans="1:13" ht="19.05" customHeight="1">
      <c r="A37" s="16">
        <v>17</v>
      </c>
      <c r="B37" s="17">
        <v>5000</v>
      </c>
      <c r="C37" s="18">
        <v>7.9000000000000001E-2</v>
      </c>
      <c r="D37" s="22">
        <f>IF($A37="","",0.5*空气密度*$A37^3*PI()*叶轮直径^2/4/1000)</f>
        <v>95247.192487431748</v>
      </c>
      <c r="E37" s="23">
        <f t="shared" si="0"/>
        <v>5.2494985620282403E-2</v>
      </c>
    </row>
    <row r="38" spans="1:13" ht="19.05" customHeight="1">
      <c r="A38" s="19">
        <v>17.5</v>
      </c>
      <c r="B38" s="20">
        <v>4724.6000000000004</v>
      </c>
      <c r="C38" s="21">
        <v>7.0000000000000007E-2</v>
      </c>
      <c r="D38" s="24">
        <f>IF($A38="","",0.5*空气密度*$A38^3*PI()*叶轮直径^2/4/1000)</f>
        <v>103900.96117185618</v>
      </c>
      <c r="E38" s="25">
        <f t="shared" si="0"/>
        <v>4.5472149118864554E-2</v>
      </c>
    </row>
    <row r="39" spans="1:13" ht="19.05" customHeight="1">
      <c r="A39" s="16">
        <v>18</v>
      </c>
      <c r="B39" s="17">
        <v>4508.8</v>
      </c>
      <c r="C39" s="18">
        <v>6.3E-2</v>
      </c>
      <c r="D39" s="22">
        <f>IF($A39="","",0.5*空气密度*$A39^3*PI()*叶轮直径^2/4/1000)</f>
        <v>113063.63252324484</v>
      </c>
      <c r="E39" s="23">
        <f t="shared" si="0"/>
        <v>3.9878428627994351E-2</v>
      </c>
    </row>
    <row r="40" spans="1:13" ht="19.05" customHeight="1">
      <c r="A40" s="19">
        <v>18.5</v>
      </c>
      <c r="B40" s="20">
        <v>4171.7</v>
      </c>
      <c r="C40" s="21">
        <v>5.5E-2</v>
      </c>
      <c r="D40" s="24">
        <f>IF($A40="","",0.5*空气密度*$A40^3*PI()*叶轮直径^2/4/1000)</f>
        <v>122749.74661779666</v>
      </c>
      <c r="E40" s="25">
        <f t="shared" si="0"/>
        <v>3.3985406202013076E-2</v>
      </c>
    </row>
    <row r="41" spans="1:13" ht="19.05" customHeight="1">
      <c r="A41" s="16">
        <v>19</v>
      </c>
      <c r="B41" s="17">
        <v>3869.7</v>
      </c>
      <c r="C41" s="18">
        <v>4.8000000000000001E-2</v>
      </c>
      <c r="D41" s="22">
        <f>IF($A41="","",0.5*空气密度*$A41^3*PI()*叶轮直径^2/4/1000)</f>
        <v>132973.84353171062</v>
      </c>
      <c r="E41" s="23">
        <f t="shared" si="0"/>
        <v>2.9101211916741976E-2</v>
      </c>
    </row>
    <row r="42" spans="1:13" ht="19.05" customHeight="1">
      <c r="A42" s="19">
        <v>19.5</v>
      </c>
      <c r="B42" s="20">
        <v>3582.4</v>
      </c>
      <c r="C42" s="21">
        <v>4.2000000000000003E-2</v>
      </c>
      <c r="D42" s="24">
        <f>IF($A42="","",0.5*空气密度*$A42^3*PI()*叶轮直径^2/4/1000)</f>
        <v>143750.46334118571</v>
      </c>
      <c r="E42" s="25">
        <f t="shared" si="0"/>
        <v>2.4920963151940066E-2</v>
      </c>
    </row>
    <row r="43" spans="1:13" ht="19.05" customHeight="1">
      <c r="A43" s="16">
        <v>20</v>
      </c>
      <c r="B43" s="17">
        <v>3406.3</v>
      </c>
      <c r="C43" s="18">
        <v>3.7999999999999999E-2</v>
      </c>
      <c r="D43" s="22">
        <f>IF($A43="","",0.5*空气密度*$A43^3*PI()*叶轮直径^2/4/1000)</f>
        <v>155094.14612242091</v>
      </c>
      <c r="E43" s="23">
        <f t="shared" si="0"/>
        <v>2.1962788958593549E-2</v>
      </c>
    </row>
    <row r="44" spans="1:13" ht="17" customHeight="1">
      <c r="A44" s="19"/>
      <c r="B44" s="20"/>
      <c r="C44" s="21"/>
      <c r="D44" s="24" t="str">
        <f>IF($A44="","",0.5*空气密度*$A44^3*PI()*叶轮直径^2/4/1000)</f>
        <v/>
      </c>
      <c r="E44" s="25" t="str">
        <f t="shared" si="0"/>
        <v/>
      </c>
    </row>
    <row r="45" spans="1:13" ht="17" customHeight="1">
      <c r="A45" s="16"/>
      <c r="B45" s="17"/>
      <c r="C45" s="18"/>
      <c r="D45" s="22" t="str">
        <f>IF($A45="","",0.5*空气密度*$A45^3*PI()*叶轮直径^2/4/1000)</f>
        <v/>
      </c>
      <c r="E45" s="23" t="str">
        <f t="shared" si="0"/>
        <v/>
      </c>
    </row>
    <row r="46" spans="1:13" ht="17" customHeight="1">
      <c r="A46" s="19"/>
      <c r="B46" s="20"/>
      <c r="C46" s="21"/>
      <c r="D46" s="24" t="str">
        <f>IF($A46="","",0.5*空气密度*$A46^3*PI()*叶轮直径^2/4/1000)</f>
        <v/>
      </c>
      <c r="E46" s="25" t="str">
        <f t="shared" si="0"/>
        <v/>
      </c>
    </row>
    <row r="47" spans="1:13" ht="17" customHeight="1">
      <c r="A47" s="16"/>
      <c r="B47" s="17"/>
      <c r="C47" s="18"/>
      <c r="D47" s="22" t="str">
        <f>IF($A47="","",0.5*空气密度*$A47^3*PI()*叶轮直径^2/4/1000)</f>
        <v/>
      </c>
      <c r="E47" s="23" t="str">
        <f t="shared" si="0"/>
        <v/>
      </c>
    </row>
    <row r="48" spans="1:13" ht="17" customHeight="1">
      <c r="A48" s="19"/>
      <c r="B48" s="20"/>
      <c r="C48" s="21"/>
      <c r="D48" s="24" t="str">
        <f>IF($A48="","",0.5*空气密度*$A48^3*PI()*叶轮直径^2/4/1000)</f>
        <v/>
      </c>
      <c r="E48" s="25" t="str">
        <f t="shared" si="0"/>
        <v/>
      </c>
    </row>
    <row r="49" spans="1:5" ht="17" customHeight="1">
      <c r="A49" s="16"/>
      <c r="B49" s="17"/>
      <c r="C49" s="18"/>
      <c r="D49" s="22" t="str">
        <f>IF($A49="","",0.5*空气密度*$A49^3*PI()*叶轮直径^2/4/1000)</f>
        <v/>
      </c>
      <c r="E49" s="23" t="str">
        <f t="shared" si="0"/>
        <v/>
      </c>
    </row>
    <row r="50" spans="1:5" ht="17" customHeight="1">
      <c r="A50" s="19"/>
      <c r="B50" s="20"/>
      <c r="C50" s="21"/>
      <c r="D50" s="24" t="str">
        <f>IF($A50="","",0.5*空气密度*$A50^3*PI()*叶轮直径^2/4/1000)</f>
        <v/>
      </c>
      <c r="E50" s="25" t="str">
        <f t="shared" si="0"/>
        <v/>
      </c>
    </row>
    <row r="51" spans="1:5" ht="17" customHeight="1">
      <c r="A51" s="16"/>
      <c r="B51" s="17"/>
      <c r="C51" s="18"/>
      <c r="D51" s="22" t="str">
        <f>IF($A51="","",0.5*空气密度*$A51^3*PI()*叶轮直径^2/4/1000)</f>
        <v/>
      </c>
      <c r="E51" s="23" t="str">
        <f t="shared" si="0"/>
        <v/>
      </c>
    </row>
    <row r="52" spans="1:5" ht="17" customHeight="1">
      <c r="A52" s="19"/>
      <c r="B52" s="20"/>
      <c r="C52" s="21"/>
      <c r="D52" s="24" t="str">
        <f>IF($A52="","",0.5*空气密度*$A52^3*PI()*叶轮直径^2/4/1000)</f>
        <v/>
      </c>
      <c r="E52" s="25" t="str">
        <f t="shared" si="0"/>
        <v/>
      </c>
    </row>
    <row r="53" spans="1:5" ht="17" customHeight="1">
      <c r="A53" s="16"/>
      <c r="B53" s="17"/>
      <c r="C53" s="18"/>
      <c r="D53" s="22" t="str">
        <f>IF($A53="","",0.5*空气密度*$A53^3*PI()*叶轮直径^2/4/1000)</f>
        <v/>
      </c>
      <c r="E53" s="23" t="str">
        <f t="shared" si="0"/>
        <v/>
      </c>
    </row>
    <row r="54" spans="1:5" ht="17" customHeight="1">
      <c r="A54" s="19"/>
      <c r="B54" s="20"/>
      <c r="C54" s="21"/>
      <c r="D54" s="24" t="str">
        <f>IF($A54="","",0.5*空气密度*$A54^3*PI()*叶轮直径^2/4/1000)</f>
        <v/>
      </c>
      <c r="E54" s="25" t="str">
        <f t="shared" si="0"/>
        <v/>
      </c>
    </row>
    <row r="55" spans="1:5" ht="17" customHeight="1">
      <c r="A55" s="16"/>
      <c r="B55" s="17"/>
      <c r="C55" s="18"/>
      <c r="D55" s="22" t="str">
        <f>IF($A55="","",0.5*空气密度*$A55^3*PI()*叶轮直径^2/4/1000)</f>
        <v/>
      </c>
      <c r="E55" s="23" t="str">
        <f t="shared" si="0"/>
        <v/>
      </c>
    </row>
    <row r="56" spans="1:5" ht="17" customHeight="1">
      <c r="A56" s="19"/>
      <c r="B56" s="20"/>
      <c r="C56" s="21"/>
      <c r="D56" s="24" t="str">
        <f>IF($A56="","",0.5*空气密度*$A56^3*PI()*叶轮直径^2/4/1000)</f>
        <v/>
      </c>
      <c r="E56" s="25" t="str">
        <f t="shared" si="0"/>
        <v/>
      </c>
    </row>
    <row r="57" spans="1:5" ht="17" customHeight="1">
      <c r="A57" s="16"/>
      <c r="B57" s="17"/>
      <c r="C57" s="18"/>
      <c r="D57" s="22" t="str">
        <f>IF($A57="","",0.5*空气密度*$A57^3*PI()*叶轮直径^2/4/1000)</f>
        <v/>
      </c>
      <c r="E57" s="23" t="str">
        <f t="shared" si="0"/>
        <v/>
      </c>
    </row>
    <row r="58" spans="1:5" ht="17" customHeight="1">
      <c r="A58" s="19"/>
      <c r="B58" s="20"/>
      <c r="C58" s="21"/>
      <c r="D58" s="24" t="str">
        <f>IF($A58="","",0.5*空气密度*$A58^3*PI()*叶轮直径^2/4/1000)</f>
        <v/>
      </c>
      <c r="E58" s="25" t="str">
        <f t="shared" si="0"/>
        <v/>
      </c>
    </row>
    <row r="59" spans="1:5" ht="17" customHeight="1">
      <c r="A59" s="16"/>
      <c r="B59" s="17"/>
      <c r="C59" s="18"/>
      <c r="D59" s="22" t="str">
        <f>IF($A59="","",0.5*空气密度*$A59^3*PI()*叶轮直径^2/4/1000)</f>
        <v/>
      </c>
      <c r="E59" s="23" t="str">
        <f t="shared" si="0"/>
        <v/>
      </c>
    </row>
    <row r="60" spans="1:5" ht="17" customHeight="1">
      <c r="A60" s="19"/>
      <c r="B60" s="20"/>
      <c r="C60" s="21"/>
      <c r="D60" s="24" t="str">
        <f>IF($A60="","",0.5*空气密度*$A60^3*PI()*叶轮直径^2/4/1000)</f>
        <v/>
      </c>
      <c r="E60" s="25" t="str">
        <f t="shared" si="0"/>
        <v/>
      </c>
    </row>
    <row r="61" spans="1:5" ht="17" customHeight="1">
      <c r="A61" s="16"/>
      <c r="B61" s="17"/>
      <c r="C61" s="18"/>
      <c r="D61" s="22" t="str">
        <f>IF($A61="","",0.5*空气密度*$A61^3*PI()*叶轮直径^2/4/1000)</f>
        <v/>
      </c>
      <c r="E61" s="23" t="str">
        <f t="shared" si="0"/>
        <v/>
      </c>
    </row>
    <row r="62" spans="1:5" ht="17" customHeight="1">
      <c r="A62" s="19"/>
      <c r="B62" s="20"/>
      <c r="C62" s="21"/>
      <c r="D62" s="24" t="str">
        <f>IF($A62="","",0.5*空气密度*$A62^3*PI()*叶轮直径^2/4/1000)</f>
        <v/>
      </c>
      <c r="E62" s="25" t="str">
        <f t="shared" si="0"/>
        <v/>
      </c>
    </row>
    <row r="63" spans="1:5" ht="17" customHeight="1">
      <c r="A63" s="16"/>
      <c r="B63" s="17"/>
      <c r="C63" s="18"/>
      <c r="D63" s="22" t="str">
        <f>IF($A63="","",0.5*空气密度*$A63^3*PI()*叶轮直径^2/4/1000)</f>
        <v/>
      </c>
      <c r="E63" s="23" t="str">
        <f t="shared" si="0"/>
        <v/>
      </c>
    </row>
    <row r="64" spans="1:5" ht="17" customHeight="1">
      <c r="A64" s="19"/>
      <c r="B64" s="20"/>
      <c r="C64" s="21"/>
      <c r="D64" s="24" t="str">
        <f>IF($A64="","",0.5*空气密度*$A64^3*PI()*叶轮直径^2/4/1000)</f>
        <v/>
      </c>
      <c r="E64" s="25" t="str">
        <f t="shared" si="0"/>
        <v/>
      </c>
    </row>
    <row r="65" spans="1:5" ht="17" customHeight="1">
      <c r="A65" s="16"/>
      <c r="B65" s="17"/>
      <c r="C65" s="18"/>
      <c r="D65" s="22" t="str">
        <f>IF($A65="","",0.5*空气密度*$A65^3*PI()*叶轮直径^2/4/1000)</f>
        <v/>
      </c>
      <c r="E65" s="23" t="str">
        <f t="shared" si="0"/>
        <v/>
      </c>
    </row>
    <row r="66" spans="1:5" ht="17" customHeight="1">
      <c r="A66" s="19"/>
      <c r="B66" s="20"/>
      <c r="C66" s="21"/>
      <c r="D66" s="24" t="str">
        <f>IF($A66="","",0.5*空气密度*$A66^3*PI()*叶轮直径^2/4/1000)</f>
        <v/>
      </c>
      <c r="E66" s="25" t="str">
        <f t="shared" si="0"/>
        <v/>
      </c>
    </row>
    <row r="67" spans="1:5" ht="17" customHeight="1">
      <c r="A67" s="16"/>
      <c r="B67" s="17"/>
      <c r="C67" s="18"/>
      <c r="D67" s="22" t="str">
        <f>IF($A67="","",0.5*空气密度*$A67^3*PI()*叶轮直径^2/4/1000)</f>
        <v/>
      </c>
      <c r="E67" s="23" t="str">
        <f t="shared" si="0"/>
        <v/>
      </c>
    </row>
    <row r="68" spans="1:5" ht="17" customHeight="1">
      <c r="A68" s="19"/>
      <c r="B68" s="20"/>
      <c r="C68" s="21"/>
      <c r="D68" s="24" t="str">
        <f>IF($A68="","",0.5*空气密度*$A68^3*PI()*叶轮直径^2/4/1000)</f>
        <v/>
      </c>
      <c r="E68" s="25" t="str">
        <f t="shared" si="0"/>
        <v/>
      </c>
    </row>
    <row r="69" spans="1:5" ht="17" customHeight="1">
      <c r="A69" s="16"/>
      <c r="B69" s="17"/>
      <c r="C69" s="18"/>
      <c r="D69" s="22" t="str">
        <f>IF($A69="","",0.5*空气密度*$A69^3*PI()*叶轮直径^2/4/1000)</f>
        <v/>
      </c>
      <c r="E69" s="23" t="str">
        <f t="shared" si="0"/>
        <v/>
      </c>
    </row>
    <row r="70" spans="1:5" ht="17" customHeight="1">
      <c r="A70" s="19"/>
      <c r="B70" s="20"/>
      <c r="C70" s="21"/>
      <c r="D70" s="24" t="str">
        <f>IF($A70="","",0.5*空气密度*$A70^3*PI()*叶轮直径^2/4/1000)</f>
        <v/>
      </c>
      <c r="E70" s="25" t="str">
        <f t="shared" si="0"/>
        <v/>
      </c>
    </row>
    <row r="71" spans="1:5" ht="17" customHeight="1">
      <c r="A71" s="16"/>
      <c r="B71" s="17"/>
      <c r="C71" s="18"/>
      <c r="D71" s="22" t="str">
        <f>IF($A71="","",0.5*空气密度*$A71^3*PI()*叶轮直径^2/4/1000)</f>
        <v/>
      </c>
      <c r="E71" s="23" t="str">
        <f t="shared" si="0"/>
        <v/>
      </c>
    </row>
    <row r="72" spans="1:5" ht="17" customHeight="1">
      <c r="A72" s="19"/>
      <c r="B72" s="20"/>
      <c r="C72" s="21"/>
      <c r="D72" s="24" t="str">
        <f>IF($A72="","",0.5*空气密度*$A72^3*PI()*叶轮直径^2/4/1000)</f>
        <v/>
      </c>
      <c r="E72" s="25" t="str">
        <f t="shared" si="0"/>
        <v/>
      </c>
    </row>
    <row r="73" spans="1:5" ht="17" customHeight="1">
      <c r="A73" s="16"/>
      <c r="B73" s="17"/>
      <c r="C73" s="18"/>
      <c r="D73" s="22" t="str">
        <f>IF($A73="","",0.5*空气密度*$A73^3*PI()*叶轮直径^2/4/1000)</f>
        <v/>
      </c>
      <c r="E73" s="23" t="str">
        <f t="shared" si="0"/>
        <v/>
      </c>
    </row>
    <row r="74" spans="1:5" ht="17" customHeight="1">
      <c r="A74" s="19"/>
      <c r="B74" s="20"/>
      <c r="C74" s="21"/>
      <c r="D74" s="24" t="str">
        <f>IF($A74="","",0.5*空气密度*$A74^3*PI()*叶轮直径^2/4/1000)</f>
        <v/>
      </c>
      <c r="E74" s="25" t="str">
        <f t="shared" ref="E74:E108" si="1">IF(OR($A74="",$B74=""),"",$B74/$D74)</f>
        <v/>
      </c>
    </row>
    <row r="75" spans="1:5" ht="17" customHeight="1">
      <c r="A75" s="16"/>
      <c r="B75" s="17"/>
      <c r="C75" s="18"/>
      <c r="D75" s="22" t="str">
        <f>IF($A75="","",0.5*空气密度*$A75^3*PI()*叶轮直径^2/4/1000)</f>
        <v/>
      </c>
      <c r="E75" s="23" t="str">
        <f t="shared" si="1"/>
        <v/>
      </c>
    </row>
    <row r="76" spans="1:5" ht="17" customHeight="1">
      <c r="A76" s="19"/>
      <c r="B76" s="20"/>
      <c r="C76" s="21"/>
      <c r="D76" s="24" t="str">
        <f>IF($A76="","",0.5*空气密度*$A76^3*PI()*叶轮直径^2/4/1000)</f>
        <v/>
      </c>
      <c r="E76" s="25" t="str">
        <f t="shared" si="1"/>
        <v/>
      </c>
    </row>
    <row r="77" spans="1:5" ht="17" customHeight="1">
      <c r="A77" s="16"/>
      <c r="B77" s="17"/>
      <c r="C77" s="18"/>
      <c r="D77" s="22" t="str">
        <f>IF($A77="","",0.5*空气密度*$A77^3*PI()*叶轮直径^2/4/1000)</f>
        <v/>
      </c>
      <c r="E77" s="23" t="str">
        <f t="shared" si="1"/>
        <v/>
      </c>
    </row>
    <row r="78" spans="1:5" ht="17" customHeight="1">
      <c r="A78" s="19"/>
      <c r="B78" s="20"/>
      <c r="C78" s="21"/>
      <c r="D78" s="24" t="str">
        <f>IF($A78="","",0.5*空气密度*$A78^3*PI()*叶轮直径^2/4/1000)</f>
        <v/>
      </c>
      <c r="E78" s="25" t="str">
        <f t="shared" si="1"/>
        <v/>
      </c>
    </row>
    <row r="79" spans="1:5" ht="17" customHeight="1">
      <c r="A79" s="16"/>
      <c r="B79" s="17"/>
      <c r="C79" s="18"/>
      <c r="D79" s="22" t="str">
        <f>IF($A79="","",0.5*空气密度*$A79^3*PI()*叶轮直径^2/4/1000)</f>
        <v/>
      </c>
      <c r="E79" s="23" t="str">
        <f t="shared" si="1"/>
        <v/>
      </c>
    </row>
    <row r="80" spans="1:5" ht="17" customHeight="1">
      <c r="A80" s="19"/>
      <c r="B80" s="20"/>
      <c r="C80" s="21"/>
      <c r="D80" s="24" t="str">
        <f>IF($A80="","",0.5*空气密度*$A80^3*PI()*叶轮直径^2/4/1000)</f>
        <v/>
      </c>
      <c r="E80" s="25" t="str">
        <f t="shared" si="1"/>
        <v/>
      </c>
    </row>
    <row r="81" spans="1:5" ht="17" customHeight="1">
      <c r="A81" s="16"/>
      <c r="B81" s="17"/>
      <c r="C81" s="18"/>
      <c r="D81" s="22" t="str">
        <f>IF($A81="","",0.5*空气密度*$A81^3*PI()*叶轮直径^2/4/1000)</f>
        <v/>
      </c>
      <c r="E81" s="23" t="str">
        <f t="shared" si="1"/>
        <v/>
      </c>
    </row>
    <row r="82" spans="1:5" ht="17" customHeight="1">
      <c r="A82" s="19"/>
      <c r="B82" s="20"/>
      <c r="C82" s="21"/>
      <c r="D82" s="24" t="str">
        <f>IF($A82="","",0.5*空气密度*$A82^3*PI()*叶轮直径^2/4/1000)</f>
        <v/>
      </c>
      <c r="E82" s="25" t="str">
        <f t="shared" si="1"/>
        <v/>
      </c>
    </row>
    <row r="83" spans="1:5" ht="17" customHeight="1">
      <c r="A83" s="16"/>
      <c r="B83" s="17"/>
      <c r="C83" s="18"/>
      <c r="D83" s="22" t="str">
        <f>IF($A83="","",0.5*空气密度*$A83^3*PI()*叶轮直径^2/4/1000)</f>
        <v/>
      </c>
      <c r="E83" s="23" t="str">
        <f t="shared" si="1"/>
        <v/>
      </c>
    </row>
    <row r="84" spans="1:5" ht="17" customHeight="1">
      <c r="A84" s="19"/>
      <c r="B84" s="20"/>
      <c r="C84" s="21"/>
      <c r="D84" s="24" t="str">
        <f>IF($A84="","",0.5*空气密度*$A84^3*PI()*叶轮直径^2/4/1000)</f>
        <v/>
      </c>
      <c r="E84" s="25" t="str">
        <f t="shared" si="1"/>
        <v/>
      </c>
    </row>
    <row r="85" spans="1:5" ht="17" customHeight="1">
      <c r="A85" s="16"/>
      <c r="B85" s="17"/>
      <c r="C85" s="18"/>
      <c r="D85" s="22" t="str">
        <f>IF($A85="","",0.5*空气密度*$A85^3*PI()*叶轮直径^2/4/1000)</f>
        <v/>
      </c>
      <c r="E85" s="23" t="str">
        <f t="shared" si="1"/>
        <v/>
      </c>
    </row>
    <row r="86" spans="1:5" ht="17" customHeight="1">
      <c r="A86" s="19"/>
      <c r="B86" s="20"/>
      <c r="C86" s="21"/>
      <c r="D86" s="24" t="str">
        <f>IF($A86="","",0.5*空气密度*$A86^3*PI()*叶轮直径^2/4/1000)</f>
        <v/>
      </c>
      <c r="E86" s="25" t="str">
        <f t="shared" si="1"/>
        <v/>
      </c>
    </row>
    <row r="87" spans="1:5" ht="17" customHeight="1">
      <c r="A87" s="16"/>
      <c r="B87" s="17"/>
      <c r="C87" s="18"/>
      <c r="D87" s="22" t="str">
        <f>IF($A87="","",0.5*空气密度*$A87^3*PI()*叶轮直径^2/4/1000)</f>
        <v/>
      </c>
      <c r="E87" s="23" t="str">
        <f t="shared" si="1"/>
        <v/>
      </c>
    </row>
    <row r="88" spans="1:5" ht="17" customHeight="1">
      <c r="A88" s="19"/>
      <c r="B88" s="20"/>
      <c r="C88" s="21"/>
      <c r="D88" s="24" t="str">
        <f>IF($A88="","",0.5*空气密度*$A88^3*PI()*叶轮直径^2/4/1000)</f>
        <v/>
      </c>
      <c r="E88" s="25" t="str">
        <f t="shared" si="1"/>
        <v/>
      </c>
    </row>
    <row r="89" spans="1:5" ht="17" customHeight="1">
      <c r="A89" s="16"/>
      <c r="B89" s="17"/>
      <c r="C89" s="18"/>
      <c r="D89" s="22" t="str">
        <f>IF($A89="","",0.5*空气密度*$A89^3*PI()*叶轮直径^2/4/1000)</f>
        <v/>
      </c>
      <c r="E89" s="23" t="str">
        <f t="shared" si="1"/>
        <v/>
      </c>
    </row>
    <row r="90" spans="1:5" ht="17" customHeight="1">
      <c r="A90" s="19"/>
      <c r="B90" s="20"/>
      <c r="C90" s="21"/>
      <c r="D90" s="24" t="str">
        <f>IF($A90="","",0.5*空气密度*$A90^3*PI()*叶轮直径^2/4/1000)</f>
        <v/>
      </c>
      <c r="E90" s="25" t="str">
        <f t="shared" si="1"/>
        <v/>
      </c>
    </row>
    <row r="91" spans="1:5" ht="17" customHeight="1">
      <c r="A91" s="16"/>
      <c r="B91" s="17"/>
      <c r="C91" s="18"/>
      <c r="D91" s="22" t="str">
        <f>IF($A91="","",0.5*空气密度*$A91^3*PI()*叶轮直径^2/4/1000)</f>
        <v/>
      </c>
      <c r="E91" s="23" t="str">
        <f t="shared" si="1"/>
        <v/>
      </c>
    </row>
    <row r="92" spans="1:5" ht="17" customHeight="1">
      <c r="A92" s="19"/>
      <c r="B92" s="20"/>
      <c r="C92" s="21"/>
      <c r="D92" s="24" t="str">
        <f>IF($A92="","",0.5*空气密度*$A92^3*PI()*叶轮直径^2/4/1000)</f>
        <v/>
      </c>
      <c r="E92" s="25" t="str">
        <f t="shared" si="1"/>
        <v/>
      </c>
    </row>
    <row r="93" spans="1:5" ht="17" customHeight="1">
      <c r="A93" s="16"/>
      <c r="B93" s="17"/>
      <c r="C93" s="18"/>
      <c r="D93" s="22" t="str">
        <f>IF($A93="","",0.5*空气密度*$A93^3*PI()*叶轮直径^2/4/1000)</f>
        <v/>
      </c>
      <c r="E93" s="23" t="str">
        <f t="shared" si="1"/>
        <v/>
      </c>
    </row>
    <row r="94" spans="1:5" ht="17" customHeight="1">
      <c r="A94" s="19"/>
      <c r="B94" s="20"/>
      <c r="C94" s="21"/>
      <c r="D94" s="24" t="str">
        <f>IF($A94="","",0.5*空气密度*$A94^3*PI()*叶轮直径^2/4/1000)</f>
        <v/>
      </c>
      <c r="E94" s="25" t="str">
        <f t="shared" si="1"/>
        <v/>
      </c>
    </row>
    <row r="95" spans="1:5" ht="17" customHeight="1">
      <c r="A95" s="16"/>
      <c r="B95" s="17"/>
      <c r="C95" s="18"/>
      <c r="D95" s="22" t="str">
        <f>IF($A95="","",0.5*空气密度*$A95^3*PI()*叶轮直径^2/4/1000)</f>
        <v/>
      </c>
      <c r="E95" s="23" t="str">
        <f t="shared" si="1"/>
        <v/>
      </c>
    </row>
    <row r="96" spans="1:5" ht="17" customHeight="1">
      <c r="A96" s="19"/>
      <c r="B96" s="20"/>
      <c r="C96" s="21"/>
      <c r="D96" s="24" t="str">
        <f>IF($A96="","",0.5*空气密度*$A96^3*PI()*叶轮直径^2/4/1000)</f>
        <v/>
      </c>
      <c r="E96" s="25" t="str">
        <f t="shared" si="1"/>
        <v/>
      </c>
    </row>
    <row r="97" spans="1:5" ht="17" customHeight="1">
      <c r="A97" s="16"/>
      <c r="B97" s="17"/>
      <c r="C97" s="18"/>
      <c r="D97" s="22" t="str">
        <f>IF($A97="","",0.5*空气密度*$A97^3*PI()*叶轮直径^2/4/1000)</f>
        <v/>
      </c>
      <c r="E97" s="23" t="str">
        <f t="shared" si="1"/>
        <v/>
      </c>
    </row>
    <row r="98" spans="1:5" ht="17" customHeight="1">
      <c r="A98" s="19"/>
      <c r="B98" s="20"/>
      <c r="C98" s="21"/>
      <c r="D98" s="24" t="str">
        <f>IF($A98="","",0.5*空气密度*$A98^3*PI()*叶轮直径^2/4/1000)</f>
        <v/>
      </c>
      <c r="E98" s="25" t="str">
        <f t="shared" si="1"/>
        <v/>
      </c>
    </row>
    <row r="99" spans="1:5" ht="17" customHeight="1">
      <c r="A99" s="16"/>
      <c r="B99" s="17"/>
      <c r="C99" s="18"/>
      <c r="D99" s="22" t="str">
        <f>IF($A99="","",0.5*空气密度*$A99^3*PI()*叶轮直径^2/4/1000)</f>
        <v/>
      </c>
      <c r="E99" s="23" t="str">
        <f t="shared" si="1"/>
        <v/>
      </c>
    </row>
    <row r="100" spans="1:5" ht="17" customHeight="1">
      <c r="A100" s="19"/>
      <c r="B100" s="20"/>
      <c r="C100" s="21"/>
      <c r="D100" s="24" t="str">
        <f>IF($A100="","",0.5*空气密度*$A100^3*PI()*叶轮直径^2/4/1000)</f>
        <v/>
      </c>
      <c r="E100" s="25" t="str">
        <f t="shared" si="1"/>
        <v/>
      </c>
    </row>
    <row r="101" spans="1:5" ht="17" customHeight="1">
      <c r="A101" s="16"/>
      <c r="B101" s="17"/>
      <c r="C101" s="18"/>
      <c r="D101" s="22" t="str">
        <f>IF($A101="","",0.5*空气密度*$A101^3*PI()*叶轮直径^2/4/1000)</f>
        <v/>
      </c>
      <c r="E101" s="23" t="str">
        <f t="shared" si="1"/>
        <v/>
      </c>
    </row>
    <row r="102" spans="1:5" ht="17" customHeight="1">
      <c r="A102" s="19"/>
      <c r="B102" s="20"/>
      <c r="C102" s="21"/>
      <c r="D102" s="24" t="str">
        <f>IF($A102="","",0.5*空气密度*$A102^3*PI()*叶轮直径^2/4/1000)</f>
        <v/>
      </c>
      <c r="E102" s="25" t="str">
        <f t="shared" si="1"/>
        <v/>
      </c>
    </row>
    <row r="103" spans="1:5" ht="17" customHeight="1">
      <c r="A103" s="16"/>
      <c r="B103" s="17"/>
      <c r="C103" s="18"/>
      <c r="D103" s="22" t="str">
        <f>IF($A103="","",0.5*空气密度*$A103^3*PI()*叶轮直径^2/4/1000)</f>
        <v/>
      </c>
      <c r="E103" s="23" t="str">
        <f t="shared" si="1"/>
        <v/>
      </c>
    </row>
    <row r="104" spans="1:5" ht="17" customHeight="1">
      <c r="A104" s="19"/>
      <c r="B104" s="20"/>
      <c r="C104" s="21"/>
      <c r="D104" s="24" t="str">
        <f>IF($A104="","",0.5*空气密度*$A104^3*PI()*叶轮直径^2/4/1000)</f>
        <v/>
      </c>
      <c r="E104" s="25" t="str">
        <f t="shared" si="1"/>
        <v/>
      </c>
    </row>
    <row r="105" spans="1:5" ht="17" customHeight="1">
      <c r="A105" s="16"/>
      <c r="B105" s="17"/>
      <c r="C105" s="18"/>
      <c r="D105" s="22" t="str">
        <f>IF($A105="","",0.5*空气密度*$A105^3*PI()*叶轮直径^2/4/1000)</f>
        <v/>
      </c>
      <c r="E105" s="23" t="str">
        <f t="shared" si="1"/>
        <v/>
      </c>
    </row>
    <row r="106" spans="1:5" ht="17" customHeight="1">
      <c r="A106" s="19"/>
      <c r="B106" s="20"/>
      <c r="C106" s="21"/>
      <c r="D106" s="24" t="str">
        <f>IF($A106="","",0.5*空气密度*$A106^3*PI()*叶轮直径^2/4/1000)</f>
        <v/>
      </c>
      <c r="E106" s="25" t="str">
        <f t="shared" si="1"/>
        <v/>
      </c>
    </row>
    <row r="107" spans="1:5" ht="17" customHeight="1">
      <c r="A107" s="16"/>
      <c r="B107" s="17"/>
      <c r="C107" s="18"/>
      <c r="D107" s="22" t="str">
        <f>IF($A107="","",0.5*空气密度*$A107^3*PI()*叶轮直径^2/4/1000)</f>
        <v/>
      </c>
      <c r="E107" s="23" t="str">
        <f t="shared" si="1"/>
        <v/>
      </c>
    </row>
    <row r="108" spans="1:5" ht="17" customHeight="1">
      <c r="A108" s="19"/>
      <c r="B108" s="20"/>
      <c r="C108" s="21"/>
      <c r="D108" s="24" t="str">
        <f>IF($A108="","",0.5*空气密度*$A108^3*PI()*叶轮直径^2/4/1000)</f>
        <v/>
      </c>
      <c r="E108" s="25" t="str">
        <f t="shared" si="1"/>
        <v/>
      </c>
    </row>
  </sheetData>
  <mergeCells count="6">
    <mergeCell ref="A1:F1"/>
    <mergeCell ref="A3:C3"/>
    <mergeCell ref="E4:F4"/>
    <mergeCell ref="E5:F5"/>
    <mergeCell ref="A7:C7"/>
    <mergeCell ref="D7:E7"/>
  </mergeCells>
  <phoneticPr fontId="2" type="noConversion"/>
  <printOptions horizontalCentered="1"/>
  <pageMargins left="0.625" right="0.625" top="0.75" bottom="0.75" header="0.30555555555555558" footer="0.30555555555555558"/>
  <pageSetup paperSize="9" scale="80" orientation="portrait" r:id="rId1"/>
  <headerFooter>
    <oddHeader>&amp;C&amp;"Microsoft YaHei,Bold"&amp;12风电机组功率系数 (Cp) 计算模型</oddHeader>
    <oddFooter>&amp;L&amp;"Microsoft YaHei"&amp;9打印日期：&amp;D&amp;C&amp;"Microsoft YaHei"&amp;9第 &amp;P 页 / 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5</vt:i4>
      </vt:variant>
    </vt:vector>
  </HeadingPairs>
  <TitlesOfParts>
    <vt:vector size="6" baseType="lpstr">
      <vt:lpstr>Cp计算</vt:lpstr>
      <vt:lpstr>Cp计算!Print_Area</vt:lpstr>
      <vt:lpstr>Cp计算!Print_Titles</vt:lpstr>
      <vt:lpstr>空气密度</vt:lpstr>
      <vt:lpstr>叶轮直径</vt:lpstr>
      <vt:lpstr>最大Cp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hdec</dc:creator>
  <cp:lastModifiedBy>何雨果 Hugo</cp:lastModifiedBy>
  <cp:lastPrinted>2026-07-03T03:41:32Z</cp:lastPrinted>
  <dcterms:created xsi:type="dcterms:W3CDTF">2025-12-08T02:08:00Z</dcterms:created>
  <dcterms:modified xsi:type="dcterms:W3CDTF">2026-07-03T03:46:23Z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48C022D8D29A48CAAF12B35256D3F38A_13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